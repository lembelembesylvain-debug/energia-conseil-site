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s" sheetId="1" state="visible" r:id="rId1"/>
    <sheet name="Contacts" sheetId="2" state="visible" r:id="rId2"/>
    <sheet name="Synthè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b val="1"/>
      <color rgb="00C0000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D7D31"/>
        <bgColor rgb="00ED7D31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  <fill>
      <patternFill patternType="solid">
        <fgColor rgb="0070AD47"/>
        <bgColor rgb="0070AD47"/>
      </patternFill>
    </fill>
    <fill>
      <patternFill patternType="solid">
        <fgColor rgb="00D6DCE4"/>
        <bgColor rgb="00D6DCE4"/>
      </patternFill>
    </fill>
    <fill>
      <patternFill patternType="solid">
        <fgColor rgb="002E5C3E"/>
        <bgColor rgb="002E5C3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left"/>
    </xf>
    <xf numFmtId="0" fontId="2" fillId="7" borderId="1" applyAlignment="1" pivotButton="0" quotePrefix="0" xfId="0">
      <alignment horizontal="right"/>
    </xf>
    <xf numFmtId="0" fontId="0" fillId="7" borderId="1" applyAlignment="1" pivotButton="0" quotePrefix="0" xfId="0">
      <alignment horizontal="left"/>
    </xf>
    <xf numFmtId="0" fontId="1" fillId="8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0" fontId="2" fillId="9" borderId="1" pivotButton="0" quotePrefix="0" xfId="0"/>
    <xf numFmtId="0" fontId="0" fillId="9" borderId="1" applyAlignment="1" pivotButton="0" quotePrefix="0" xfId="0">
      <alignment horizontal="right"/>
    </xf>
    <xf numFmtId="0" fontId="2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par niveau d'urgence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'Synthèse'!B14</f>
            </strRef>
          </tx>
          <spPr>
            <a:ln>
              <a:prstDash val="solid"/>
            </a:ln>
          </spPr>
          <cat>
            <numRef>
              <f>'Synthèse'!$A$14:$A$18</f>
            </numRef>
          </cat>
          <val>
            <numRef>
              <f>'Synthèse'!$B$15:$B$18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Urgence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de clients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14" customWidth="1" min="4" max="4"/>
    <col width="14" customWidth="1" min="5" max="5"/>
    <col width="25" customWidth="1" min="6" max="6"/>
    <col width="18" customWidth="1" min="7" max="7"/>
    <col width="14" customWidth="1" min="8" max="8"/>
    <col width="12" customWidth="1" min="9" max="9"/>
    <col width="45" customWidth="1" min="10" max="10"/>
    <col width="14" customWidth="1" min="11" max="11"/>
    <col width="14" customWidth="1" min="12" max="12"/>
  </cols>
  <sheetData>
    <row r="1">
      <c r="A1" s="1" t="inlineStr">
        <is>
          <t>Nom du deal</t>
        </is>
      </c>
      <c r="B1" s="1" t="inlineStr">
        <is>
          <t>Montant TTC</t>
        </is>
      </c>
      <c r="C1" s="1" t="inlineStr">
        <is>
          <t>Profil</t>
        </is>
      </c>
      <c r="D1" s="1" t="inlineStr">
        <is>
          <t>Aides</t>
        </is>
      </c>
      <c r="E1" s="1" t="inlineStr">
        <is>
          <t>Reste à charge</t>
        </is>
      </c>
      <c r="F1" s="1" t="inlineStr">
        <is>
          <t>Bilan mensuel</t>
        </is>
      </c>
      <c r="G1" s="1" t="inlineStr">
        <is>
          <t>DPE</t>
        </is>
      </c>
      <c r="H1" s="1" t="inlineStr">
        <is>
          <t>Date clôture</t>
        </is>
      </c>
      <c r="I1" s="1" t="inlineStr">
        <is>
          <t>Urgence</t>
        </is>
      </c>
      <c r="J1" s="1" t="inlineStr">
        <is>
          <t>Travaux</t>
        </is>
      </c>
      <c r="K1" s="1" t="inlineStr">
        <is>
          <t>Économies/an</t>
        </is>
      </c>
      <c r="L1" s="1" t="inlineStr">
        <is>
          <t>Plus-value</t>
        </is>
      </c>
    </row>
    <row r="2">
      <c r="A2" s="2" t="inlineStr">
        <is>
          <t>FONTANAY Stéphanie - Rénovation globale</t>
        </is>
      </c>
      <c r="B2" s="3" t="inlineStr">
        <is>
          <t>64 063 €</t>
        </is>
      </c>
      <c r="C2" s="4" t="inlineStr">
        <is>
          <t>BLEU</t>
        </is>
      </c>
      <c r="D2" s="3" t="inlineStr">
        <is>
          <t>39 900 €</t>
        </is>
      </c>
      <c r="E2" s="3" t="inlineStr">
        <is>
          <t>24 163 €</t>
        </is>
      </c>
      <c r="F2" s="5" t="inlineStr">
        <is>
          <t>+41 €/mois</t>
        </is>
      </c>
      <c r="G2" s="5" t="inlineStr">
        <is>
          <t>F → C (+3 classes)</t>
        </is>
      </c>
      <c r="H2" s="4" t="inlineStr">
        <is>
          <t>2026-03-27</t>
        </is>
      </c>
      <c r="I2" s="6" t="inlineStr">
        <is>
          <t>HAUTE</t>
        </is>
      </c>
      <c r="J2" s="2" t="inlineStr">
        <is>
          <t>ITE 103,8m², isolation plancher 46m², menuiseries, PAC Air/Eau 6kW, ballon thermo</t>
        </is>
      </c>
      <c r="K2" s="3" t="inlineStr">
        <is>
          <t>2 100 €</t>
        </is>
      </c>
      <c r="L2" s="3" t="inlineStr">
        <is>
          <t>40 000 €</t>
        </is>
      </c>
    </row>
    <row r="3">
      <c r="A3" s="2" t="inlineStr">
        <is>
          <t>GUION Quentin &amp; Romane - ITI écologique</t>
        </is>
      </c>
      <c r="B3" s="3" t="inlineStr">
        <is>
          <t>58 000 €</t>
        </is>
      </c>
      <c r="C3" s="4" t="inlineStr">
        <is>
          <t>ROSE</t>
        </is>
      </c>
      <c r="D3" s="3" t="inlineStr">
        <is>
          <t>20 400 €</t>
        </is>
      </c>
      <c r="E3" s="3" t="inlineStr">
        <is>
          <t>37 600 €</t>
        </is>
      </c>
      <c r="F3" s="5" t="inlineStr">
        <is>
          <t>+41 €/mois</t>
        </is>
      </c>
      <c r="G3" s="5" t="inlineStr">
        <is>
          <t>F → B (+4 classes)</t>
        </is>
      </c>
      <c r="H3" s="4" t="inlineStr">
        <is>
          <t>2026-03-24</t>
        </is>
      </c>
      <c r="I3" s="7" t="inlineStr">
        <is>
          <t>MOYENNE</t>
        </is>
      </c>
      <c r="J3" s="2" t="inlineStr">
        <is>
          <t>ITI fibre bois/ouate 100m², plancher 80m², menuiseries, VMC double flux, PAC Air/Eau 8-10kW, ballon thermo</t>
        </is>
      </c>
      <c r="K3" s="3" t="inlineStr">
        <is>
          <t>3 000 €</t>
        </is>
      </c>
      <c r="L3" s="3" t="inlineStr">
        <is>
          <t>40 000 €</t>
        </is>
      </c>
    </row>
    <row r="4">
      <c r="A4" s="2" t="inlineStr">
        <is>
          <t>ROYER Maixent - Rénovation toiture</t>
        </is>
      </c>
      <c r="B4" s="3" t="inlineStr">
        <is>
          <t>52 000 €</t>
        </is>
      </c>
      <c r="C4" s="4" t="inlineStr">
        <is>
          <t>JAUNE</t>
        </is>
      </c>
      <c r="D4" s="3" t="inlineStr">
        <is>
          <t>25 550 €</t>
        </is>
      </c>
      <c r="E4" s="3" t="inlineStr">
        <is>
          <t>26 450 €</t>
        </is>
      </c>
      <c r="F4" s="5" t="inlineStr">
        <is>
          <t>N/A</t>
        </is>
      </c>
      <c r="G4" s="5" t="inlineStr">
        <is>
          <t>G → D (+3 classes)</t>
        </is>
      </c>
      <c r="H4" s="4" t="inlineStr">
        <is>
          <t>2026-04-30</t>
        </is>
      </c>
      <c r="I4" s="8" t="inlineStr">
        <is>
          <t>TRÈS HAUTE</t>
        </is>
      </c>
      <c r="J4" s="2" t="inlineStr">
        <is>
          <t>Isolation toiture 80m² + couverture, PAC Air-Air 3 splits Daikin, ballon thermo 200L, 5 fenêtres + 2 portes, zinguerie</t>
        </is>
      </c>
      <c r="K4" s="3" t="inlineStr">
        <is>
          <t>0 €</t>
        </is>
      </c>
      <c r="L4" s="3" t="inlineStr">
        <is>
          <t>0 €</t>
        </is>
      </c>
    </row>
    <row r="5">
      <c r="A5" s="2" t="inlineStr">
        <is>
          <t>YANG Simiao &amp; LIU Ke - Rénovation globale</t>
        </is>
      </c>
      <c r="B5" s="3" t="inlineStr">
        <is>
          <t>120 743 €</t>
        </is>
      </c>
      <c r="C5" s="4" t="inlineStr">
        <is>
          <t>BLEU</t>
        </is>
      </c>
      <c r="D5" s="3" t="inlineStr">
        <is>
          <t>67 500 €</t>
        </is>
      </c>
      <c r="E5" s="3" t="inlineStr">
        <is>
          <t>53 243 €</t>
        </is>
      </c>
      <c r="F5" s="5" t="inlineStr">
        <is>
          <t>-121 €/mois (2 ans) puis +17 €/mois</t>
        </is>
      </c>
      <c r="G5" s="5" t="inlineStr">
        <is>
          <t>F/G → B (+5 classes)</t>
        </is>
      </c>
      <c r="H5" s="4" t="inlineStr">
        <is>
          <t>2026-03-24</t>
        </is>
      </c>
      <c r="I5" s="6" t="inlineStr">
        <is>
          <t>HAUTE</t>
        </is>
      </c>
      <c r="J5" s="2" t="inlineStr">
        <is>
          <t>ITE 332m², rampants 138m², plancher 75m², PAC Air/Eau 17kW, VMC hygro B, ballon 240L</t>
        </is>
      </c>
      <c r="K5" s="3" t="inlineStr">
        <is>
          <t>2 650 €</t>
        </is>
      </c>
      <c r="L5" s="3" t="inlineStr">
        <is>
          <t>60 000 €</t>
        </is>
      </c>
    </row>
    <row r="6">
      <c r="A6" s="2" t="inlineStr">
        <is>
          <t>SEUX Laurent - Rénovation globale</t>
        </is>
      </c>
      <c r="B6" s="3" t="inlineStr">
        <is>
          <t>70 391 €</t>
        </is>
      </c>
      <c r="C6" s="4" t="inlineStr">
        <is>
          <t>JAUNE</t>
        </is>
      </c>
      <c r="D6" s="3" t="inlineStr">
        <is>
          <t>39 000 €</t>
        </is>
      </c>
      <c r="E6" s="3" t="inlineStr">
        <is>
          <t>31 391 €</t>
        </is>
      </c>
      <c r="F6" s="5" t="inlineStr">
        <is>
          <t>+6 €/mois</t>
        </is>
      </c>
      <c r="G6" s="5" t="inlineStr">
        <is>
          <t>F → B (+4 classes)</t>
        </is>
      </c>
      <c r="H6" s="4" t="inlineStr">
        <is>
          <t>2026-03-27</t>
        </is>
      </c>
      <c r="I6" s="6" t="inlineStr">
        <is>
          <t>HAUTE</t>
        </is>
      </c>
      <c r="J6" s="2" t="inlineStr">
        <is>
          <t>ITE 78,25m², combles 56m², 6 fenêtres + 2 portes-fenêtres + 1 porte, PAC Air/Eau, VMC hygro B, désembouage, électricité</t>
        </is>
      </c>
      <c r="K6" s="3" t="inlineStr">
        <is>
          <t>1 950 €</t>
        </is>
      </c>
      <c r="L6" s="3" t="inlineStr">
        <is>
          <t>25 000 €</t>
        </is>
      </c>
    </row>
    <row r="7">
      <c r="A7" s="2" t="inlineStr">
        <is>
          <t>BRUNEL Emrick - Rénovation ITE (Indivision)</t>
        </is>
      </c>
      <c r="B7" s="3" t="inlineStr">
        <is>
          <t>71 972 €</t>
        </is>
      </c>
      <c r="C7" s="4" t="inlineStr">
        <is>
          <t>JAUNE</t>
        </is>
      </c>
      <c r="D7" s="3" t="inlineStr">
        <is>
          <t>39 500 €</t>
        </is>
      </c>
      <c r="E7" s="3" t="inlineStr">
        <is>
          <t>32 472 €</t>
        </is>
      </c>
      <c r="F7" s="5" t="inlineStr">
        <is>
          <t>-256 €/mois</t>
        </is>
      </c>
      <c r="G7" s="5" t="inlineStr">
        <is>
          <t>F → D (+2 classes)</t>
        </is>
      </c>
      <c r="H7" s="4" t="inlineStr">
        <is>
          <t>2026-04-25</t>
        </is>
      </c>
      <c r="I7" s="7" t="inlineStr">
        <is>
          <t>MOYENNE</t>
        </is>
      </c>
      <c r="J7" s="2" t="inlineStr">
        <is>
          <t>ITE 196m², combles 72m², plancher 48m², 1 porte-fenêtre + 4 fenêtres + volets solaires, VMC hygro, 5 splits PAC air/air, ballon thermo 200L</t>
        </is>
      </c>
      <c r="K7" s="3" t="inlineStr">
        <is>
          <t>1 800 €</t>
        </is>
      </c>
      <c r="L7" s="3" t="inlineStr">
        <is>
          <t>30 000 €</t>
        </is>
      </c>
    </row>
    <row r="8">
      <c r="A8" s="2" t="inlineStr">
        <is>
          <t>GRANGE Mathias - Rénovation ITI pisé</t>
        </is>
      </c>
      <c r="B8" s="3" t="inlineStr">
        <is>
          <t>52 000 €</t>
        </is>
      </c>
      <c r="C8" s="4" t="inlineStr">
        <is>
          <t>JAUNE</t>
        </is>
      </c>
      <c r="D8" s="3" t="inlineStr">
        <is>
          <t>27 750 €</t>
        </is>
      </c>
      <c r="E8" s="3" t="inlineStr">
        <is>
          <t>24 250 €</t>
        </is>
      </c>
      <c r="F8" s="5" t="inlineStr">
        <is>
          <t>-27 €/mois (15 ans) puis +108 €/mois</t>
        </is>
      </c>
      <c r="G8" s="5" t="inlineStr">
        <is>
          <t>G → D/C (+3/4 classes)</t>
        </is>
      </c>
      <c r="H8" s="4" t="inlineStr">
        <is>
          <t>2026-04-30</t>
        </is>
      </c>
      <c r="I8" s="9" t="inlineStr">
        <is>
          <t>FAIBLE</t>
        </is>
      </c>
      <c r="J8" s="2" t="inlineStr">
        <is>
          <t>Isolation combles 60m², ITI laine roche 100m², 5 fenêtres + 5 volets solaires + porte, PAC Air-Air 5 splits, VMC hygro, ballon thermo 200L</t>
        </is>
      </c>
      <c r="K8" s="3" t="inlineStr">
        <is>
          <t>1 300 €</t>
        </is>
      </c>
      <c r="L8" s="3" t="inlineStr">
        <is>
          <t>0 €</t>
        </is>
      </c>
    </row>
    <row r="9">
      <c r="A9" s="2" t="inlineStr">
        <is>
          <t>RICHARD Paul - Reprise KAZEO</t>
        </is>
      </c>
      <c r="B9" s="3" t="inlineStr">
        <is>
          <t>56 000 €</t>
        </is>
      </c>
      <c r="C9" s="4" t="inlineStr">
        <is>
          <t>ROSE</t>
        </is>
      </c>
      <c r="D9" s="3" t="inlineStr">
        <is>
          <t>28 606 €</t>
        </is>
      </c>
      <c r="E9" s="3" t="inlineStr">
        <is>
          <t>27 394 €</t>
        </is>
      </c>
      <c r="F9" s="5" t="inlineStr">
        <is>
          <t>272 €/mois (financement)</t>
        </is>
      </c>
      <c r="G9" s="5" t="inlineStr">
        <is>
          <t>G → A (+6 classes)</t>
        </is>
      </c>
      <c r="H9" s="4" t="inlineStr">
        <is>
          <t>2026-08-21</t>
        </is>
      </c>
      <c r="I9" s="8" t="inlineStr">
        <is>
          <t>CRITIQUE</t>
        </is>
      </c>
      <c r="J9" s="2" t="inlineStr">
        <is>
          <t>ITE 164m², combles 100m², PAC Air/Air 4 splits, ballon thermo 200L, VMC hygro B</t>
        </is>
      </c>
      <c r="K9" s="3" t="inlineStr">
        <is>
          <t>2 400 €</t>
        </is>
      </c>
      <c r="L9" s="3" t="inlineStr">
        <is>
          <t>80 000 €</t>
        </is>
      </c>
    </row>
    <row r="10">
      <c r="A10" s="10" t="inlineStr">
        <is>
          <t>TOTAL PIPELINE</t>
        </is>
      </c>
      <c r="B10" s="11" t="inlineStr">
        <is>
          <t>545 169 €</t>
        </is>
      </c>
      <c r="C10" s="12" t="n"/>
      <c r="D10" s="11" t="inlineStr">
        <is>
          <t>288 206 €</t>
        </is>
      </c>
      <c r="E10" s="11" t="inlineStr">
        <is>
          <t>256 963 €</t>
        </is>
      </c>
      <c r="F10" s="12" t="n"/>
      <c r="G10" s="12" t="n"/>
      <c r="H10" s="12" t="n"/>
      <c r="I10" s="12" t="n"/>
      <c r="J10" s="12" t="n"/>
      <c r="K10" s="11" t="inlineStr">
        <is>
          <t>15 200 €</t>
        </is>
      </c>
      <c r="L10" s="11" t="inlineStr">
        <is>
          <t>275 000 €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8" customWidth="1" min="3" max="3"/>
    <col width="16" customWidth="1" min="4" max="4"/>
    <col width="30" customWidth="1" min="5" max="5"/>
    <col width="25" customWidth="1" min="6" max="6"/>
    <col width="12" customWidth="1" min="7" max="7"/>
    <col width="10" customWidth="1" min="8" max="8"/>
    <col width="25" customWidth="1" min="9" max="9"/>
  </cols>
  <sheetData>
    <row r="1">
      <c r="A1" s="13" t="inlineStr">
        <is>
          <t>Prénom</t>
        </is>
      </c>
      <c r="B1" s="13" t="inlineStr">
        <is>
          <t>Nom</t>
        </is>
      </c>
      <c r="C1" s="13" t="inlineStr">
        <is>
          <t>Email</t>
        </is>
      </c>
      <c r="D1" s="13" t="inlineStr">
        <is>
          <t>Téléphone</t>
        </is>
      </c>
      <c r="E1" s="13" t="inlineStr">
        <is>
          <t>Adresse</t>
        </is>
      </c>
      <c r="F1" s="13" t="inlineStr">
        <is>
          <t>Ville</t>
        </is>
      </c>
      <c r="G1" s="13" t="inlineStr">
        <is>
          <t>Code postal</t>
        </is>
      </c>
      <c r="H1" s="13" t="inlineStr">
        <is>
          <t>Profil</t>
        </is>
      </c>
      <c r="I1" s="13" t="inlineStr">
        <is>
          <t>Projet</t>
        </is>
      </c>
    </row>
    <row r="2">
      <c r="A2" s="5" t="inlineStr">
        <is>
          <t>Stéphanie</t>
        </is>
      </c>
      <c r="B2" s="5" t="inlineStr">
        <is>
          <t>FONTANAY</t>
        </is>
      </c>
      <c r="C2" s="5" t="inlineStr">
        <is>
          <t>fontanay-stephanie@orange.fr</t>
        </is>
      </c>
      <c r="D2" s="5" t="inlineStr">
        <is>
          <t>06 59 38 97 49</t>
        </is>
      </c>
      <c r="E2" s="5" t="inlineStr">
        <is>
          <t>167 Rue des Acacias</t>
        </is>
      </c>
      <c r="F2" s="5" t="inlineStr">
        <is>
          <t>MONTROND-LES-BAINS</t>
        </is>
      </c>
      <c r="G2" s="4" t="inlineStr">
        <is>
          <t>42210</t>
        </is>
      </c>
      <c r="H2" s="4" t="inlineStr">
        <is>
          <t>BLEU</t>
        </is>
      </c>
      <c r="I2" s="5" t="inlineStr">
        <is>
          <t>Rénovation globale</t>
        </is>
      </c>
    </row>
    <row r="3">
      <c r="A3" s="5" t="inlineStr">
        <is>
          <t>Quentin &amp; Romane</t>
        </is>
      </c>
      <c r="B3" s="5" t="inlineStr">
        <is>
          <t>GUION</t>
        </is>
      </c>
      <c r="C3" s="5" t="inlineStr">
        <is>
          <t>quentin-guion@hotmail.fr</t>
        </is>
      </c>
      <c r="D3" s="5" t="inlineStr"/>
      <c r="E3" s="5" t="inlineStr"/>
      <c r="F3" s="5" t="inlineStr"/>
      <c r="G3" s="4" t="inlineStr"/>
      <c r="H3" s="4" t="inlineStr">
        <is>
          <t>ROSE</t>
        </is>
      </c>
      <c r="I3" s="5" t="inlineStr">
        <is>
          <t>ITI écologique</t>
        </is>
      </c>
    </row>
    <row r="4">
      <c r="A4" s="5" t="inlineStr">
        <is>
          <t>Maixent</t>
        </is>
      </c>
      <c r="B4" s="5" t="inlineStr">
        <is>
          <t>ROYER</t>
        </is>
      </c>
      <c r="C4" s="5" t="inlineStr">
        <is>
          <t>À compléter</t>
        </is>
      </c>
      <c r="D4" s="5" t="inlineStr">
        <is>
          <t>À compléter</t>
        </is>
      </c>
      <c r="E4" s="5" t="inlineStr">
        <is>
          <t>6 route de Marcilly</t>
        </is>
      </c>
      <c r="F4" s="5" t="inlineStr">
        <is>
          <t>CHALAIN D'UZOR</t>
        </is>
      </c>
      <c r="G4" s="4" t="inlineStr">
        <is>
          <t>42600</t>
        </is>
      </c>
      <c r="H4" s="4" t="inlineStr">
        <is>
          <t>JAUNE</t>
        </is>
      </c>
      <c r="I4" s="5" t="inlineStr">
        <is>
          <t>Rénovation toiture</t>
        </is>
      </c>
    </row>
    <row r="5">
      <c r="A5" s="5" t="inlineStr">
        <is>
          <t>Simiao &amp; Ke</t>
        </is>
      </c>
      <c r="B5" s="5" t="inlineStr">
        <is>
          <t>YANG-LIU</t>
        </is>
      </c>
      <c r="C5" s="5" t="inlineStr">
        <is>
          <t>yespace2016@gmail.com</t>
        </is>
      </c>
      <c r="D5" s="5" t="inlineStr">
        <is>
          <t>07 64 42 85 25</t>
        </is>
      </c>
      <c r="E5" s="5" t="inlineStr">
        <is>
          <t>18 Parc des Chavannes</t>
        </is>
      </c>
      <c r="F5" s="5" t="inlineStr">
        <is>
          <t>COLLONGES-AU-MONT-D'OR</t>
        </is>
      </c>
      <c r="G5" s="4" t="inlineStr">
        <is>
          <t>69660</t>
        </is>
      </c>
      <c r="H5" s="4" t="inlineStr">
        <is>
          <t>BLEU</t>
        </is>
      </c>
      <c r="I5" s="5" t="inlineStr">
        <is>
          <t>Rénovation globale</t>
        </is>
      </c>
    </row>
    <row r="6">
      <c r="A6" s="5" t="inlineStr">
        <is>
          <t>Laurent</t>
        </is>
      </c>
      <c r="B6" s="5" t="inlineStr">
        <is>
          <t>SEUX</t>
        </is>
      </c>
      <c r="C6" s="5" t="inlineStr"/>
      <c r="D6" s="5" t="inlineStr"/>
      <c r="E6" s="5" t="inlineStr">
        <is>
          <t>4 Rue Georges Laurent</t>
        </is>
      </c>
      <c r="F6" s="5" t="inlineStr">
        <is>
          <t>LA RICAMARIE</t>
        </is>
      </c>
      <c r="G6" s="4" t="inlineStr">
        <is>
          <t>42150</t>
        </is>
      </c>
      <c r="H6" s="4" t="inlineStr">
        <is>
          <t>JAUNE</t>
        </is>
      </c>
      <c r="I6" s="5" t="inlineStr">
        <is>
          <t>Rénovation globale</t>
        </is>
      </c>
    </row>
    <row r="7">
      <c r="A7" s="5" t="inlineStr">
        <is>
          <t>Emrick</t>
        </is>
      </c>
      <c r="B7" s="5" t="inlineStr">
        <is>
          <t>BRUNEL</t>
        </is>
      </c>
      <c r="C7" s="5" t="inlineStr"/>
      <c r="D7" s="5" t="inlineStr"/>
      <c r="E7" s="5" t="inlineStr">
        <is>
          <t>48 Impasse des Lagunes</t>
        </is>
      </c>
      <c r="F7" s="5" t="inlineStr">
        <is>
          <t>BUSSIÈRES</t>
        </is>
      </c>
      <c r="G7" s="4" t="inlineStr">
        <is>
          <t>42510</t>
        </is>
      </c>
      <c r="H7" s="4" t="inlineStr">
        <is>
          <t>JAUNE</t>
        </is>
      </c>
      <c r="I7" s="5" t="inlineStr">
        <is>
          <t>Rénovation ITE (Indivision)</t>
        </is>
      </c>
    </row>
    <row r="8">
      <c r="A8" s="5" t="inlineStr">
        <is>
          <t>Mathias</t>
        </is>
      </c>
      <c r="B8" s="5" t="inlineStr">
        <is>
          <t>GRANGE</t>
        </is>
      </c>
      <c r="C8" s="5" t="inlineStr"/>
      <c r="D8" s="5" t="inlineStr">
        <is>
          <t>06 67 52 88 90</t>
        </is>
      </c>
      <c r="E8" s="5" t="inlineStr">
        <is>
          <t>569 Chemin des Places</t>
        </is>
      </c>
      <c r="F8" s="5" t="inlineStr">
        <is>
          <t>MONTCHAL</t>
        </is>
      </c>
      <c r="G8" s="4" t="inlineStr">
        <is>
          <t>42360</t>
        </is>
      </c>
      <c r="H8" s="4" t="inlineStr">
        <is>
          <t>JAUNE</t>
        </is>
      </c>
      <c r="I8" s="5" t="inlineStr">
        <is>
          <t>Rénovation ITI pisé</t>
        </is>
      </c>
    </row>
    <row r="9">
      <c r="A9" s="5" t="inlineStr">
        <is>
          <t>Paul</t>
        </is>
      </c>
      <c r="B9" s="5" t="inlineStr">
        <is>
          <t>RICHARD</t>
        </is>
      </c>
      <c r="C9" s="5" t="inlineStr"/>
      <c r="D9" s="5" t="inlineStr"/>
      <c r="E9" s="5" t="inlineStr">
        <is>
          <t>600 Route de la Goutte</t>
        </is>
      </c>
      <c r="F9" s="5" t="inlineStr">
        <is>
          <t>UNIAS</t>
        </is>
      </c>
      <c r="G9" s="4" t="inlineStr">
        <is>
          <t>42210</t>
        </is>
      </c>
      <c r="H9" s="4" t="inlineStr">
        <is>
          <t>ROSE</t>
        </is>
      </c>
      <c r="I9" s="5" t="inlineStr">
        <is>
          <t>Reprise KAZEO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14" t="inlineStr">
        <is>
          <t>SYNTHÈSE PIPELINE - 8 CLIENTS HUBSPOT</t>
        </is>
      </c>
      <c r="B1" s="15" t="n"/>
    </row>
    <row r="2">
      <c r="A2" s="15" t="n"/>
      <c r="B2" s="15" t="n"/>
    </row>
    <row r="3">
      <c r="A3" s="16" t="inlineStr">
        <is>
          <t>Total pipeline (TTC)</t>
        </is>
      </c>
      <c r="B3" s="17" t="inlineStr">
        <is>
          <t>545 169 €</t>
        </is>
      </c>
    </row>
    <row r="4">
      <c r="A4" s="16" t="inlineStr">
        <is>
          <t>Total aides</t>
        </is>
      </c>
      <c r="B4" s="17" t="inlineStr">
        <is>
          <t>288 206 €</t>
        </is>
      </c>
    </row>
    <row r="5">
      <c r="A5" s="16" t="inlineStr">
        <is>
          <t>Total reste à charge</t>
        </is>
      </c>
      <c r="B5" s="17" t="inlineStr">
        <is>
          <t>256 963 €</t>
        </is>
      </c>
    </row>
    <row r="6">
      <c r="A6" s="16" t="inlineStr">
        <is>
          <t>Taux moyen de prise en charge</t>
        </is>
      </c>
      <c r="B6" s="17" t="inlineStr">
        <is>
          <t>52.9 %</t>
        </is>
      </c>
    </row>
    <row r="7">
      <c r="A7" s="15" t="n"/>
      <c r="B7" s="15" t="n"/>
    </row>
    <row r="8">
      <c r="A8" s="18" t="inlineStr">
        <is>
          <t>Répartition par profil MaPrimeRénov'</t>
        </is>
      </c>
      <c r="B8" s="15" t="n"/>
    </row>
    <row r="9">
      <c r="A9" s="15" t="inlineStr">
        <is>
          <t xml:space="preserve">  BLEU</t>
        </is>
      </c>
      <c r="B9" s="15" t="inlineStr">
        <is>
          <t>2 client(s)</t>
        </is>
      </c>
    </row>
    <row r="10">
      <c r="A10" s="15" t="inlineStr">
        <is>
          <t xml:space="preserve">  JAUNE</t>
        </is>
      </c>
      <c r="B10" s="15" t="inlineStr">
        <is>
          <t>4 client(s)</t>
        </is>
      </c>
    </row>
    <row r="11">
      <c r="A11" s="15" t="inlineStr">
        <is>
          <t xml:space="preserve">  ROSE</t>
        </is>
      </c>
      <c r="B11" s="15" t="inlineStr">
        <is>
          <t>2 client(s)</t>
        </is>
      </c>
    </row>
    <row r="12">
      <c r="A12" s="15" t="n"/>
      <c r="B12" s="15" t="n"/>
    </row>
    <row r="13">
      <c r="A13" s="18" t="inlineStr">
        <is>
          <t>Répartition par urgence</t>
        </is>
      </c>
      <c r="B13" s="15" t="n"/>
    </row>
    <row r="14">
      <c r="A14" s="15" t="inlineStr">
        <is>
          <t>CRITIQUE</t>
        </is>
      </c>
      <c r="B14" s="15" t="n">
        <v>1</v>
      </c>
    </row>
    <row r="15">
      <c r="A15" s="15" t="inlineStr">
        <is>
          <t>TRÈS HAUTE</t>
        </is>
      </c>
      <c r="B15" s="15" t="n">
        <v>1</v>
      </c>
    </row>
    <row r="16">
      <c r="A16" s="15" t="inlineStr">
        <is>
          <t>HAUTE</t>
        </is>
      </c>
      <c r="B16" s="15" t="n">
        <v>3</v>
      </c>
    </row>
    <row r="17">
      <c r="A17" s="15" t="inlineStr">
        <is>
          <t>MOYENNE</t>
        </is>
      </c>
      <c r="B17" s="15" t="n">
        <v>2</v>
      </c>
    </row>
    <row r="18">
      <c r="A18" s="15" t="inlineStr">
        <is>
          <t>FAIBLE</t>
        </is>
      </c>
      <c r="B18" s="15" t="n">
        <v>1</v>
      </c>
    </row>
    <row r="19">
      <c r="A19" s="15" t="n"/>
      <c r="B19" s="15" t="n"/>
    </row>
    <row r="20">
      <c r="A20" s="15" t="n"/>
      <c r="B20" s="15" t="n"/>
    </row>
    <row r="21">
      <c r="A21" s="15" t="n"/>
      <c r="B21" s="15" t="n"/>
    </row>
    <row r="22">
      <c r="A22" s="15" t="n"/>
      <c r="B22" s="15" t="n"/>
    </row>
    <row r="23">
      <c r="A23" s="15" t="n"/>
      <c r="B23" s="15" t="n"/>
    </row>
    <row r="24">
      <c r="A24" s="15" t="n"/>
      <c r="B24" s="15" t="n"/>
    </row>
    <row r="25">
      <c r="A25" s="15" t="n"/>
      <c r="B25" s="15" t="n"/>
    </row>
    <row r="26">
      <c r="A26" s="15" t="n"/>
      <c r="B26" s="15" t="n"/>
    </row>
    <row r="27">
      <c r="A27" s="15" t="n"/>
      <c r="B27" s="15" t="n"/>
    </row>
    <row r="28">
      <c r="A28" s="15" t="n"/>
      <c r="B28" s="15" t="n"/>
    </row>
    <row r="29">
      <c r="A29" s="15" t="n"/>
      <c r="B29" s="15" t="n"/>
    </row>
    <row r="30">
      <c r="A30" s="15" t="n"/>
      <c r="B30" s="15" t="n"/>
    </row>
    <row r="31">
      <c r="A31" s="15" t="n"/>
      <c r="B31" s="15" t="n"/>
    </row>
    <row r="32">
      <c r="A32" s="15" t="n"/>
      <c r="B32" s="15" t="n"/>
    </row>
    <row r="33">
      <c r="A33" s="19" t="inlineStr">
        <is>
          <t>Actions prioritaires (urgence HAUTE et plus)</t>
        </is>
      </c>
      <c r="B33" s="15" t="n"/>
    </row>
    <row r="34">
      <c r="A34" s="15" t="inlineStr">
        <is>
          <t xml:space="preserve">  1. FONTANAY Stéphanie - Rénovation globale</t>
        </is>
      </c>
      <c r="B34" s="15" t="n"/>
    </row>
    <row r="35">
      <c r="A35" s="15" t="inlineStr">
        <is>
          <t xml:space="preserve">  2. ROYER Maixent - Rénovation toiture</t>
        </is>
      </c>
      <c r="B35" s="15" t="n"/>
    </row>
    <row r="36">
      <c r="A36" s="15" t="inlineStr">
        <is>
          <t xml:space="preserve">  3. YANG Simiao &amp; LIU Ke - Rénovation globale</t>
        </is>
      </c>
      <c r="B36" s="15" t="n"/>
    </row>
    <row r="37">
      <c r="A37" s="15" t="inlineStr">
        <is>
          <t xml:space="preserve">  4. SEUX Laurent - Rénovation globale</t>
        </is>
      </c>
      <c r="B37" s="15" t="n"/>
    </row>
    <row r="38">
      <c r="A38" s="15" t="inlineStr">
        <is>
          <t xml:space="preserve">  5. RICHARD Paul - Reprise KAZEO</t>
        </is>
      </c>
      <c r="B38" s="15" t="n"/>
    </row>
    <row r="39">
      <c r="A39" s="15" t="n"/>
      <c r="B39" s="15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2026-03-02T20:24:16Z</dcterms:created>
  <dcterms:modified xsi:type="dcterms:W3CDTF">2026-03-02T20:24:16Z</dcterms:modified>
</cp:coreProperties>
</file>